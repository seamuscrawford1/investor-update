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puts" sheetId="1" r:id="rId1"/>
    <sheet name="Option Comparison" sheetId="2" r:id="rId2"/>
    <sheet name="Option Details" sheetId="3" r:id="rId3"/>
    <sheet name="Scale Scenarios" sheetId="4" r:id="rId4"/>
    <sheet name="Inbound Care Opportunity" sheetId="5" r:id="rId5"/>
    <sheet name="Board Decision Matrix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5">
    <numFmt numFmtId="165" formatCode="0.0%"/>
    <numFmt numFmtId="166" formatCode="0.0%"/>
    <numFmt numFmtId="167" formatCode="$#,##0.00"/>
    <numFmt numFmtId="168" formatCode="$#,##0"/>
    <numFmt numFmtId="169" formatCode="$#,##0"/>
    <numFmt numFmtId="170" formatCode="$#,##0.000"/>
    <numFmt numFmtId="171" formatCode="$#,##0.000"/>
    <numFmt numFmtId="172" formatCode="$#,##0.00"/>
    <numFmt numFmtId="173" formatCode="$#,##0"/>
    <numFmt numFmtId="174" formatCode="0.0%"/>
    <numFmt numFmtId="175" formatCode="#,##0.0"/>
    <numFmt numFmtId="176" formatCode="$#,##0"/>
    <numFmt numFmtId="177" formatCode="0.0%"/>
    <numFmt numFmtId="178" formatCode="$#,##0"/>
    <numFmt numFmtId="179" formatCode="$#,##0"/>
  </numFmts>
  <fonts count="42" x14ac:knownFonts="1">
    <font>
      <sz val="11"/>
      <name val="Calibri"/>
    </font>
    <font>
      <sz val="11"/>
      <name val="Calibri"/>
    </font>
    <font>
      <sz val="14"/>
      <name val="Calibri"/>
      <b/>
      <color rgb="FF1A1A1A"/>
    </font>
    <font>
      <sz val="10"/>
      <name val="Calibri"/>
      <i/>
      <color rgb="FF888888"/>
    </font>
    <font>
      <sz val="11"/>
      <name val="Calibri"/>
      <b/>
      <color rgb="FFFFFFFF"/>
    </font>
    <font>
      <sz val="11"/>
      <name val="Calibri"/>
      <b/>
      <color rgb="FFFFFFFF"/>
    </font>
    <font>
      <sz val="10"/>
      <name val="Calibri"/>
      <color rgb="FF333333"/>
    </font>
    <font>
      <sz val="10"/>
      <name val="Calibri"/>
      <color rgb="FF4472C4"/>
    </font>
    <font>
      <sz val="9"/>
      <name val="Calibri"/>
      <i/>
      <color rgb="FF999999"/>
    </font>
    <font>
      <sz val="10"/>
      <name val="Calibri"/>
      <color rgb="FF4472C4"/>
    </font>
    <font>
      <sz val="10"/>
      <name val="Calibri"/>
      <color rgb="FF4472C4"/>
    </font>
    <font>
      <sz val="10"/>
      <name val="Calibri"/>
      <color rgb="FF4472C4"/>
    </font>
    <font>
      <sz val="10"/>
      <name val="Calibri"/>
      <color rgb="FF4472C4"/>
    </font>
    <font>
      <sz val="10"/>
      <name val="Calibri"/>
      <color rgb="FF4472C4"/>
    </font>
    <font>
      <sz val="10"/>
      <name val="Calibri"/>
      <color rgb="FF4472C4"/>
    </font>
    <font>
      <sz val="10"/>
      <name val="Calibri"/>
      <color rgb="FF4472C4"/>
    </font>
    <font>
      <sz val="10"/>
      <name val="Calibri"/>
      <color rgb="FF4472C4"/>
    </font>
    <font>
      <sz val="10"/>
      <name val="Calibri"/>
      <color rgb="FF4472C4"/>
    </font>
    <font>
      <sz val="10"/>
      <name val="Calibri"/>
      <i/>
      <color rgb="FF666666"/>
    </font>
    <font>
      <sz val="10"/>
      <name val="Calibri"/>
      <color rgb="FF000000"/>
    </font>
    <font>
      <sz val="10"/>
      <name val="Calibri"/>
      <color rgb="FF000000"/>
    </font>
    <font>
      <sz val="10"/>
      <name val="Calibri"/>
      <color rgb="FF000000"/>
    </font>
    <font>
      <sz val="10"/>
      <name val="Calibri"/>
      <color rgb="FF000000"/>
    </font>
    <font>
      <sz val="9"/>
      <name val="Calibri"/>
      <b/>
      <color rgb="FFFFFFFF"/>
    </font>
    <font>
      <sz val="9"/>
      <name val="Calibri"/>
      <b/>
      <color rgb="FFFFFFFF"/>
    </font>
    <font>
      <sz val="10"/>
      <name val="Calibri"/>
      <b/>
      <color rgb="FF333333"/>
    </font>
    <font>
      <sz val="10"/>
      <name val="Calibri"/>
      <b/>
      <color rgb="FF333333"/>
    </font>
    <font>
      <sz val="10"/>
      <name val="Calibri"/>
      <b/>
      <color rgb="FF1A1A1A"/>
    </font>
    <font>
      <sz val="10"/>
      <name val="Calibri"/>
      <b/>
      <color rgb="FF1A1A1A"/>
    </font>
    <font>
      <sz val="10"/>
      <name val="Calibri"/>
      <b/>
      <color rgb="FF1A1A1A"/>
    </font>
    <font>
      <sz val="9"/>
      <name val="Calibri"/>
      <b/>
      <color rgb="FFFFFFFF"/>
    </font>
    <font>
      <sz val="10"/>
      <name val="Calibri"/>
      <color rgb="FFCCCCCC"/>
    </font>
    <font>
      <sz val="10"/>
      <name val="Calibri"/>
      <b/>
      <color rgb="FFD00000"/>
    </font>
    <font>
      <sz val="10"/>
      <name val="Calibri"/>
      <b/>
      <color rgb="FF2D6A4F"/>
    </font>
    <font>
      <sz val="10"/>
      <name val="Calibri"/>
      <b/>
      <color rgb="FF2D6A4F"/>
    </font>
    <font>
      <sz val="10"/>
      <name val="Calibri"/>
      <b/>
      <color rgb="FF2D6A4F"/>
    </font>
    <font>
      <sz val="10"/>
      <name val="Calibri"/>
      <b/>
      <color rgb="FFD00000"/>
    </font>
    <font>
      <sz val="10"/>
      <name val="Calibri"/>
      <b/>
      <color rgb="FF2D6A4F"/>
    </font>
    <font>
      <sz val="11"/>
      <name val="Calibri"/>
      <b/>
      <color rgb="FFFFFFFF"/>
    </font>
    <font>
      <sz val="10"/>
      <name val="Calibri"/>
      <b/>
      <color rgb="FFFFFFFF"/>
    </font>
    <font>
      <sz val="10"/>
      <name val="Calibri"/>
      <b/>
      <color rgb="FFFFFFFF"/>
    </font>
    <font>
      <sz val="11"/>
      <name val="Calibri"/>
      <b/>
      <color rgb="FFFFFFFF"/>
    </font>
  </fonts>
  <fills count="2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404040"/>
        <bgColor/>
      </patternFill>
    </fill>
    <fill>
      <patternFill patternType="solid">
        <fgColor rgb="FF404040"/>
        <bgColor/>
      </patternFill>
    </fill>
    <fill>
      <patternFill patternType="solid">
        <fgColor rgb="FFFFF2CC"/>
        <bgColor/>
      </patternFill>
    </fill>
    <fill>
      <patternFill patternType="solid">
        <fgColor rgb="FFFFF2CC"/>
        <bgColor/>
      </patternFill>
    </fill>
    <fill>
      <patternFill patternType="solid">
        <fgColor rgb="FFFFF2CC"/>
        <bgColor/>
      </patternFill>
    </fill>
    <fill>
      <patternFill patternType="solid">
        <fgColor rgb="FFFFF2CC"/>
        <bgColor/>
      </patternFill>
    </fill>
    <fill>
      <patternFill patternType="solid">
        <fgColor rgb="FFFFF2CC"/>
        <bgColor/>
      </patternFill>
    </fill>
    <fill>
      <patternFill patternType="solid">
        <fgColor rgb="FFFFF2CC"/>
        <bgColor/>
      </patternFill>
    </fill>
    <fill>
      <patternFill patternType="solid">
        <fgColor rgb="FFFFF2CC"/>
        <bgColor/>
      </patternFill>
    </fill>
    <fill>
      <patternFill patternType="solid">
        <fgColor rgb="FFFFF2CC"/>
        <bgColor/>
      </patternFill>
    </fill>
    <fill>
      <patternFill patternType="solid">
        <fgColor rgb="FFFFF2CC"/>
        <bgColor/>
      </patternFill>
    </fill>
    <fill>
      <patternFill patternType="solid">
        <fgColor rgb="FFFFF2CC"/>
        <bgColor/>
      </patternFill>
    </fill>
    <fill>
      <patternFill patternType="solid">
        <fgColor rgb="FF4472C4"/>
        <bgColor/>
      </patternFill>
    </fill>
    <fill>
      <patternFill patternType="solid">
        <fgColor rgb="FF4472C4"/>
        <bgColor/>
      </patternFill>
    </fill>
    <fill>
      <patternFill patternType="solid">
        <fgColor rgb="FFF2F2F2"/>
        <bgColor/>
      </patternFill>
    </fill>
    <fill>
      <patternFill patternType="solid">
        <fgColor rgb="FFF2F2F2"/>
        <bgColor/>
      </patternFill>
    </fill>
    <fill>
      <patternFill patternType="solid">
        <fgColor rgb="FF4472C4"/>
        <bgColor/>
      </patternFill>
    </fill>
    <fill>
      <patternFill patternType="solid">
        <fgColor rgb="FFFDE8E8"/>
        <bgColor/>
      </patternFill>
    </fill>
    <fill>
      <patternFill patternType="solid">
        <fgColor rgb="FFD8F3DC"/>
        <bgColor/>
      </patternFill>
    </fill>
    <fill>
      <patternFill patternType="solid">
        <fgColor rgb="FFD8F3DC"/>
        <bgColor/>
      </patternFill>
    </fill>
    <fill>
      <patternFill patternType="solid">
        <fgColor rgb="FFD8F3DC"/>
        <bgColor/>
      </patternFill>
    </fill>
    <fill>
      <patternFill patternType="solid">
        <fgColor rgb="FFFDE8E8"/>
        <bgColor/>
      </patternFill>
    </fill>
    <fill>
      <patternFill patternType="solid">
        <fgColor rgb="FFD8F3DC"/>
        <bgColor/>
      </patternFill>
    </fill>
    <fill>
      <patternFill patternType="solid">
        <fgColor rgb="FF2D6A4F"/>
        <bgColor/>
      </patternFill>
    </fill>
    <fill>
      <patternFill patternType="solid">
        <fgColor rgb="FF2D6A4F"/>
        <bgColor/>
      </patternFill>
    </fill>
    <fill>
      <patternFill patternType="solid">
        <fgColor rgb="FF2D6A4F"/>
        <bgColor/>
      </patternFill>
    </fill>
    <fill>
      <patternFill patternType="solid">
        <fgColor rgb="FF2D6A4F"/>
        <bgColor/>
      </patternFill>
    </fill>
  </fills>
  <borders count="33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404040"/>
      </bottom>
      <diagonal/>
    </border>
    <border>
      <left/>
      <right/>
      <top/>
      <bottom style="medium">
        <color rgb="FF404040"/>
      </bottom>
      <diagonal/>
    </border>
    <border>
      <left/>
      <right/>
      <top/>
      <bottom style="thin">
        <color rgb="FFE0E0E0"/>
      </bottom>
      <diagonal/>
    </border>
    <border>
      <left/>
      <right/>
      <top/>
      <bottom style="thin">
        <color rgb="FFD9D9D9"/>
      </bottom>
      <diagonal/>
    </border>
    <border>
      <left/>
      <right/>
      <top/>
      <bottom style="thin">
        <color rgb="FFE0E0E0"/>
      </bottom>
      <diagonal/>
    </border>
    <border>
      <left/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/>
      <top/>
      <bottom style="thin">
        <color rgb="FFE0E0E0"/>
      </bottom>
      <diagonal/>
    </border>
    <border>
      <left/>
      <right/>
      <top/>
      <bottom style="thin">
        <color rgb="FFE0E0E0"/>
      </bottom>
      <diagonal/>
    </border>
    <border>
      <left/>
      <right/>
      <top/>
      <bottom style="thin">
        <color rgb="FFE0E0E0"/>
      </bottom>
      <diagonal/>
    </border>
    <border>
      <left/>
      <right/>
      <top/>
      <bottom style="thin">
        <color rgb="FFE0E0E0"/>
      </bottom>
      <diagonal/>
    </border>
    <border>
      <left/>
      <right/>
      <top/>
      <bottom style="thin">
        <color rgb="FFE0E0E0"/>
      </bottom>
      <diagonal/>
    </border>
    <border>
      <left/>
      <right/>
      <top/>
      <bottom style="thin">
        <color rgb="FFD0D0D0"/>
      </bottom>
      <diagonal/>
    </border>
    <border>
      <left/>
      <right/>
      <top/>
      <bottom style="thin">
        <color rgb="FFD0D0D0"/>
      </bottom>
      <diagonal/>
    </border>
    <border>
      <left/>
      <right/>
      <top style="medium">
        <color rgb="FF333333"/>
      </top>
      <bottom style="double">
        <color rgb="FF333333"/>
      </bottom>
      <diagonal/>
    </border>
    <border>
      <left/>
      <right/>
      <top style="medium">
        <color rgb="FF333333"/>
      </top>
      <bottom style="double">
        <color rgb="FF333333"/>
      </bottom>
      <diagonal/>
    </border>
    <border>
      <left/>
      <right/>
      <top style="medium">
        <color rgb="FF333333"/>
      </top>
      <bottom style="double">
        <color rgb="FF333333"/>
      </bottom>
      <diagonal/>
    </border>
    <border>
      <left/>
      <right/>
      <top/>
      <bottom style="thin">
        <color rgb="FFE0E0E0"/>
      </bottom>
      <diagonal/>
    </border>
    <border>
      <left/>
      <right/>
      <top/>
      <bottom style="thin">
        <color rgb="FFE57373"/>
      </bottom>
      <diagonal/>
    </border>
    <border>
      <left/>
      <right/>
      <top/>
      <bottom style="thin">
        <color rgb="FF52B788"/>
      </bottom>
      <diagonal/>
    </border>
    <border>
      <left/>
      <right/>
      <top/>
      <bottom style="thin">
        <color rgb="FF52B788"/>
      </bottom>
      <diagonal/>
    </border>
    <border>
      <left/>
      <right/>
      <top/>
      <bottom style="thin">
        <color rgb="FF52B788"/>
      </bottom>
      <diagonal/>
    </border>
    <border>
      <left/>
      <right/>
      <top/>
      <bottom style="thin">
        <color rgb="FFE57373"/>
      </bottom>
      <diagonal/>
    </border>
    <border>
      <left/>
      <right/>
      <top/>
      <bottom style="thin">
        <color rgb="FF52B788"/>
      </bottom>
      <diagonal/>
    </border>
  </borders>
  <cellStyleXfs>
    <xf numFmtId="0" fontId="0" fillId="0" borderId="0"/>
  </cellStyleXfs>
  <cellXfs count="43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2" xfId="0" applyFont="1" applyFill="1" applyBorder="1"/>
    <xf numFmtId="0" fontId="5" fillId="3" borderId="3" xfId="0" applyFont="1" applyFill="1" applyBorder="1"/>
    <xf numFmtId="0" fontId="6" fillId="0" borderId="4" xfId="0" applyFont="1" applyBorder="1"/>
    <xf numFmtId="3" fontId="7" fillId="4" borderId="5" xfId="0" applyFont="1" applyFill="1" applyBorder="1" applyNumberFormat="1"/>
    <xf numFmtId="0" fontId="8" fillId="0" borderId="6" xfId="0" applyFont="1" applyBorder="1"/>
    <xf numFmtId="165" fontId="9" fillId="5" borderId="7" xfId="0" applyFont="1" applyFill="1" applyBorder="1" applyNumberFormat="1"/>
    <xf numFmtId="166" fontId="10" fillId="6" borderId="8" xfId="0" applyFont="1" applyFill="1" applyBorder="1" applyNumberFormat="1"/>
    <xf numFmtId="167" fontId="11" fillId="7" borderId="9" xfId="0" applyFont="1" applyFill="1" applyBorder="1" applyNumberFormat="1"/>
    <xf numFmtId="168" fontId="12" fillId="8" borderId="10" xfId="0" applyFont="1" applyFill="1" applyBorder="1" applyNumberFormat="1"/>
    <xf numFmtId="3" fontId="13" fillId="9" borderId="11" xfId="0" applyFont="1" applyFill="1" applyBorder="1" applyNumberFormat="1"/>
    <xf numFmtId="169" fontId="14" fillId="10" borderId="12" xfId="0" applyFont="1" applyFill="1" applyBorder="1" applyNumberFormat="1"/>
    <xf numFmtId="170" fontId="15" fillId="11" borderId="13" xfId="0" applyFont="1" applyFill="1" applyBorder="1" applyNumberFormat="1"/>
    <xf numFmtId="171" fontId="16" fillId="12" borderId="14" xfId="0" applyFont="1" applyFill="1" applyBorder="1" applyNumberFormat="1"/>
    <xf numFmtId="172" fontId="17" fillId="13" borderId="15" xfId="0" applyFont="1" applyFill="1" applyBorder="1" applyNumberFormat="1"/>
    <xf numFmtId="0" fontId="18" fillId="0" borderId="16" xfId="0" applyFont="1" applyBorder="1"/>
    <xf numFmtId="3" fontId="19" fillId="0" borderId="17" xfId="0" applyFont="1" applyBorder="1" applyNumberFormat="1"/>
    <xf numFmtId="173" fontId="20" fillId="0" borderId="18" xfId="0" applyFont="1" applyBorder="1" applyNumberFormat="1"/>
    <xf numFmtId="174" fontId="21" fillId="0" borderId="19" xfId="0" applyFont="1" applyBorder="1" applyNumberFormat="1"/>
    <xf numFmtId="175" fontId="22" fillId="0" borderId="20" xfId="0" applyFont="1" applyBorder="1" applyNumberFormat="1"/>
    <xf numFmtId="0" fontId="23" fillId="14" borderId="0" xfId="0" applyFont="1" applyFill="1" applyAlignment="1">
      <alignment horizontal="left"/>
    </xf>
    <xf numFmtId="0" fontId="24" fillId="15" borderId="0" xfId="0" applyFont="1" applyFill="1" applyAlignment="1">
      <alignment horizontal="center" wrapText="true"/>
    </xf>
    <xf numFmtId="0" fontId="25" fillId="16" borderId="21" xfId="0" applyFont="1" applyFill="1" applyBorder="1"/>
    <xf numFmtId="0" fontId="26" fillId="17" borderId="22" xfId="0" applyFont="1" applyFill="1" applyBorder="1"/>
    <xf numFmtId="0" fontId="27" fillId="0" borderId="23" xfId="0" applyFont="1" applyBorder="1"/>
    <xf numFmtId="176" fontId="28" fillId="0" borderId="24" xfId="0" applyFont="1" applyBorder="1" applyNumberFormat="1"/>
    <xf numFmtId="177" fontId="29" fillId="0" borderId="25" xfId="0" applyFont="1" applyBorder="1" applyNumberFormat="1"/>
    <xf numFmtId="0" fontId="30" fillId="18" borderId="0" xfId="0" applyFont="1" applyFill="1" applyAlignment="1">
      <alignment horizontal="left"/>
    </xf>
    <xf numFmtId="0" fontId="31" fillId="0" borderId="26" xfId="0" applyFont="1" applyBorder="1" applyAlignment="1">
      <alignment horizontal="center"/>
    </xf>
    <xf numFmtId="0" fontId="32" fillId="19" borderId="27" xfId="0" applyFont="1" applyFill="1" applyBorder="1"/>
    <xf numFmtId="0" fontId="33" fillId="20" borderId="28" xfId="0" applyFont="1" applyFill="1" applyBorder="1"/>
    <xf numFmtId="178" fontId="34" fillId="21" borderId="29" xfId="0" applyFont="1" applyFill="1" applyBorder="1" applyNumberFormat="1"/>
    <xf numFmtId="179" fontId="35" fillId="22" borderId="30" xfId="0" applyFont="1" applyFill="1" applyBorder="1" applyNumberFormat="1"/>
    <xf numFmtId="0" fontId="36" fillId="23" borderId="31" xfId="0" applyFont="1" applyFill="1" applyBorder="1"/>
    <xf numFmtId="0" fontId="37" fillId="24" borderId="32" xfId="0" applyFont="1" applyFill="1" applyBorder="1"/>
    <xf numFmtId="0" fontId="38" fillId="25" borderId="0" xfId="0" applyFont="1" applyFill="1"/>
    <xf numFmtId="0" fontId="39" fillId="26" borderId="0" xfId="0" applyFont="1" applyFill="1"/>
    <xf numFmtId="0" fontId="40" fillId="27" borderId="0" xfId="0" applyFont="1" applyFill="1"/>
    <xf numFmtId="0" fontId="41" fillId="28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50.83203125" customWidth="1"/>
    <col min="2" max="2" width="4.83203125" customWidth="1"/>
    <col min="3" max="3" width="18.83203125" customWidth="1"/>
    <col min="4" max="4" width="14.83203125" customWidth="1"/>
  </cols>
  <sheetData>
    <row r="1">
      <c r="A1" s="3" t="str">
        <v>CLARO DR — COMMERCIAL OPTIONS MODEL</v>
      </c>
    </row>
    <row r="2">
      <c r="A2" s="4" t="str">
        <v>Versa AI | Confidential | April 2026</v>
      </c>
    </row>
    <row r="4">
      <c r="A4" s="5" t="str">
        <v>PILOT PARAMETERS</v>
      </c>
      <c r="C4" s="6" t="str">
        <v>Value</v>
      </c>
      <c r="D4" s="6" t="str">
        <v>Unit</v>
      </c>
    </row>
    <row r="5">
      <c r="A5" s="7" t="str">
        <v>Leads per period (5 weeks)</v>
      </c>
      <c r="C5" s="8">
        <v>90695</v>
      </c>
      <c r="D5" s="9" t="str">
        <v>leads</v>
      </c>
    </row>
    <row r="6">
      <c r="A6" s="7" t="str">
        <v>Contact rate (VERSA automated)</v>
      </c>
      <c r="C6" s="10">
        <v>0.35</v>
      </c>
      <c r="D6" s="9" t="str">
        <v>%</v>
      </c>
    </row>
    <row r="7">
      <c r="A7" s="7" t="str">
        <v>Blended conversion rate</v>
      </c>
      <c r="C7" s="11">
        <v>0.0196</v>
      </c>
      <c r="D7" s="9" t="str">
        <v>%</v>
      </c>
    </row>
    <row r="8">
      <c r="A8" s="7" t="str">
        <v>Blended commission per sale</v>
      </c>
      <c r="C8" s="12">
        <v>13.59</v>
      </c>
      <c r="D8" s="9" t="str">
        <v>USD</v>
      </c>
    </row>
    <row r="9">
      <c r="A9" s="7" t="str">
        <v>Bonus revenue per period</v>
      </c>
      <c r="C9" s="13">
        <v>9693</v>
      </c>
      <c r="D9" s="9" t="str">
        <v>USD</v>
      </c>
    </row>
    <row r="10">
      <c r="A10" s="7" t="str">
        <v>Campaign periods per year</v>
      </c>
      <c r="C10" s="14">
        <v>10</v>
      </c>
      <c r="D10" s="9" t="str">
        <v>periods</v>
      </c>
    </row>
    <row r="11">
      <c r="A11" s="7" t="str">
        <v>Agent HC (post-VERSA)</v>
      </c>
      <c r="C11" s="14">
        <v>8</v>
      </c>
      <c r="D11" s="9" t="str">
        <v>heads</v>
      </c>
    </row>
    <row r="12">
      <c r="A12" s="7" t="str">
        <v>Agent cost per period</v>
      </c>
      <c r="C12" s="15">
        <v>1000</v>
      </c>
      <c r="D12" s="9" t="str">
        <v>USD/head</v>
      </c>
    </row>
    <row r="14">
      <c r="A14" s="6" t="str">
        <v>VERSA PLATFORM COSTS</v>
      </c>
      <c r="C14" s="6" t="str">
        <v>Value</v>
      </c>
      <c r="D14" s="6" t="str">
        <v>Unit</v>
      </c>
    </row>
    <row r="15">
      <c r="A15" s="7" t="str">
        <v>SMS per lead</v>
      </c>
      <c r="C15" s="14">
        <v>2</v>
      </c>
      <c r="D15" s="9" t="str">
        <v>SMS</v>
      </c>
    </row>
    <row r="16">
      <c r="A16" s="7" t="str">
        <v>SMS cost</v>
      </c>
      <c r="C16" s="16">
        <v>0.018</v>
      </c>
      <c r="D16" s="9" t="str">
        <v>USD/SMS</v>
      </c>
    </row>
    <row r="17">
      <c r="A17" s="7" t="str">
        <v>AHT screening per contact</v>
      </c>
      <c r="C17" s="17">
        <v>1.5</v>
      </c>
      <c r="D17" s="9" t="str">
        <v>min</v>
      </c>
    </row>
    <row r="18">
      <c r="A18" s="7" t="str">
        <v>AHT cost per minute</v>
      </c>
      <c r="C18" s="18">
        <v>0.15</v>
      </c>
      <c r="D18" s="9" t="str">
        <v>USD/min</v>
      </c>
    </row>
    <row r="19">
      <c r="A19" s="7" t="str">
        <v>Dial cost per dial</v>
      </c>
      <c r="C19" s="18">
        <v>0</v>
      </c>
      <c r="D19" s="9" t="str">
        <v>USD</v>
      </c>
    </row>
    <row r="20">
      <c r="A20" s="7" t="str">
        <v>Dials per lead</v>
      </c>
      <c r="C20" s="14">
        <v>6</v>
      </c>
      <c r="D20" s="9" t="str">
        <v>dials</v>
      </c>
    </row>
    <row r="22">
      <c r="A22" s="6" t="str">
        <v>COMMERCIAL LEVERS</v>
      </c>
      <c r="C22" s="6" t="str">
        <v>Value</v>
      </c>
      <c r="D22" s="6" t="str">
        <v>Unit</v>
      </c>
    </row>
    <row r="23">
      <c r="A23" s="7" t="str">
        <v>VT commission (% of topline)</v>
      </c>
      <c r="C23" s="11">
        <v>0.05</v>
      </c>
      <c r="D23" s="9" t="str">
        <v>%</v>
      </c>
    </row>
    <row r="24">
      <c r="A24" s="7" t="str">
        <v>VERSA build cost (one-off)</v>
      </c>
      <c r="C24" s="15">
        <v>50000</v>
      </c>
      <c r="D24" s="9" t="str">
        <v>USD</v>
      </c>
    </row>
    <row r="25">
      <c r="A25" s="7" t="str">
        <v>Target gross margin (VERSA)</v>
      </c>
      <c r="C25" s="11">
        <v>0.5</v>
      </c>
      <c r="D25" s="9" t="str">
        <v>%</v>
      </c>
    </row>
    <row r="27">
      <c r="A27" s="6" t="str">
        <v>OPTION-SPECIFIC INPUTS</v>
      </c>
      <c r="C27" s="6" t="str">
        <v>Value</v>
      </c>
      <c r="D27" s="6" t="str">
        <v>Unit</v>
      </c>
    </row>
    <row r="28">
      <c r="A28" s="7" t="str">
        <v>Option B: Monthly platform fee</v>
      </c>
      <c r="C28" s="15">
        <v>5000</v>
      </c>
      <c r="D28" s="9" t="str">
        <v>USD/month</v>
      </c>
    </row>
    <row r="29">
      <c r="A29" s="7" t="str">
        <v>Option C: Per-lead processing fee</v>
      </c>
      <c r="C29" s="18">
        <v>0.15</v>
      </c>
      <c r="D29" s="9" t="str">
        <v>USD/lead</v>
      </c>
    </row>
    <row r="30">
      <c r="A30" s="7" t="str">
        <v>Option D: Monthly pre-payment (if no care expansion)</v>
      </c>
      <c r="C30" s="15">
        <v>25000</v>
      </c>
      <c r="D30" s="9" t="str">
        <v>USD/month</v>
      </c>
    </row>
    <row r="31">
      <c r="A31" s="7" t="str">
        <v>Option D: Grace period before pre-payment</v>
      </c>
      <c r="C31" s="14">
        <v>6</v>
      </c>
      <c r="D31" s="9" t="str">
        <v>months</v>
      </c>
    </row>
    <row r="33">
      <c r="A33" s="6" t="str">
        <v>INBOUND CARE ESTIMATES</v>
      </c>
      <c r="C33" s="6" t="str">
        <v>Value</v>
      </c>
      <c r="D33" s="6" t="str">
        <v>Unit</v>
      </c>
    </row>
    <row r="34">
      <c r="A34" s="7" t="str">
        <v>Est. Claro DR inbound calls/month</v>
      </c>
      <c r="C34" s="14">
        <v>650000</v>
      </c>
      <c r="D34" s="9" t="str">
        <v>calls</v>
      </c>
    </row>
    <row r="35">
      <c r="A35" s="7" t="str">
        <v>Est. Claro DR inbound chats/month</v>
      </c>
      <c r="C35" s="14">
        <v>325000</v>
      </c>
      <c r="D35" s="9" t="str">
        <v>chats</v>
      </c>
    </row>
    <row r="36">
      <c r="A36" s="7" t="str">
        <v>Price per billable care call</v>
      </c>
      <c r="C36" s="18">
        <v>0.75</v>
      </c>
      <c r="D36" s="9" t="str">
        <v>USD</v>
      </c>
    </row>
    <row r="37">
      <c r="A37" s="7" t="str">
        <v>Price per billable chat</v>
      </c>
      <c r="C37" s="18">
        <v>0.35</v>
      </c>
      <c r="D37" s="9" t="str">
        <v>USD</v>
      </c>
    </row>
    <row r="38">
      <c r="A38" s="7" t="str">
        <v>Est. containment rate</v>
      </c>
      <c r="C38" s="11">
        <v>0.5</v>
      </c>
      <c r="D38" s="9" t="str">
        <v>%</v>
      </c>
    </row>
    <row r="41">
      <c r="A41" s="6" t="str">
        <v>DERIVED CALCULATIONS</v>
      </c>
      <c r="C41" s="6" t="str">
        <v>Value</v>
      </c>
      <c r="D41" s="6" t="str">
        <v>Formula</v>
      </c>
    </row>
    <row r="42">
      <c r="A42" s="19" t="str">
        <v>Contacts per period</v>
      </c>
      <c r="C42" s="20">
        <f>C5*C6</f>
      </c>
    </row>
    <row r="43">
      <c r="A43" s="19" t="str">
        <v>Sales per period</v>
      </c>
      <c r="C43" s="20">
        <f>C42*C7</f>
      </c>
    </row>
    <row r="44">
      <c r="A44" s="19" t="str">
        <v>Base commission revenue</v>
      </c>
      <c r="C44" s="21">
        <f>C43*C8</f>
      </c>
    </row>
    <row r="45">
      <c r="A45" s="19" t="str">
        <v>Total revenue (incl. bonuses)</v>
      </c>
      <c r="C45" s="21">
        <f>C44+C9</f>
      </c>
    </row>
    <row r="46">
      <c r="A46" s="19" t="str">
        <v>Agent cost total</v>
      </c>
      <c r="C46" s="21">
        <f>C11*C12</f>
      </c>
    </row>
    <row r="47">
      <c r="A47" s="19" t="str">
        <v>SMS cost total</v>
      </c>
      <c r="C47" s="21">
        <f>C5*C15*C16</f>
      </c>
    </row>
    <row r="48">
      <c r="A48" s="19" t="str">
        <v>Dial cost total</v>
      </c>
      <c r="C48" s="21">
        <f>C5*C20*C19</f>
      </c>
    </row>
    <row r="49">
      <c r="A49" s="19" t="str">
        <v>AHT screening cost total</v>
      </c>
      <c r="C49" s="21">
        <f>C42*C17*C18</f>
      </c>
    </row>
    <row r="50">
      <c r="A50" s="19" t="str">
        <v>VERSA platform costs</v>
      </c>
      <c r="C50" s="21">
        <f>C47+C48+C49</f>
      </c>
    </row>
    <row r="51">
      <c r="A51" s="19" t="str">
        <v>VT commission fee</v>
      </c>
      <c r="C51" s="21">
        <f>C45*C23</f>
      </c>
    </row>
    <row r="52">
      <c r="A52" s="19" t="str">
        <v>VT total take (agents + fee)</v>
      </c>
      <c r="C52" s="21">
        <f>C46+C51</f>
      </c>
    </row>
    <row r="53">
      <c r="A53" s="19" t="str">
        <v>Platform fee per period (5wk)</v>
      </c>
      <c r="C53" s="21">
        <f>C28*(5*7/30)</f>
      </c>
    </row>
    <row r="54">
      <c r="A54" s="19" t="str">
        <v>Lead fee revenue per period</v>
      </c>
      <c r="C54" s="21">
        <f>C5*C29</f>
      </c>
    </row>
    <row r="55">
      <c r="A55" s="19" t="str">
        <v>Months of pre-payment in Y1</v>
      </c>
      <c r="C55" s="20">
        <f>MAX(0,12-C31)</f>
      </c>
    </row>
    <row r="56">
      <c r="A56" s="19" t="str">
        <v>Expansion guarantee Y1</v>
      </c>
      <c r="C56" s="21">
        <f>C30*C55</f>
      </c>
    </row>
    <row r="57">
      <c r="A57" s="19" t="str">
        <v>Billable care calls/month</v>
      </c>
      <c r="C57" s="20">
        <f>C34*C38</f>
      </c>
    </row>
    <row r="58">
      <c r="A58" s="19" t="str">
        <v>Billable chats/month</v>
      </c>
      <c r="C58" s="20">
        <f>C35*C38</f>
      </c>
    </row>
    <row r="59">
      <c r="A59" s="19" t="str">
        <v>Care call revenue/month</v>
      </c>
      <c r="C59" s="21">
        <f>C57*C36</f>
      </c>
    </row>
    <row r="60">
      <c r="A60" s="19" t="str">
        <v>Care chat revenue/month</v>
      </c>
      <c r="C60" s="21">
        <f>C58*C37</f>
      </c>
    </row>
    <row r="61">
      <c r="A61" s="19" t="str">
        <v>Care total revenue/month</v>
      </c>
      <c r="C61" s="21">
        <f>C59+C60</f>
      </c>
    </row>
    <row r="62">
      <c r="A62" s="19" t="str">
        <v>Care total revenue/year</v>
      </c>
      <c r="C62" s="21">
        <f>C61*12</f>
      </c>
    </row>
    <row r="63">
      <c r="A63" s="19" t="str">
        <v>Care margin/year (65%)</v>
      </c>
      <c r="C63" s="21">
        <f>C62*0.65</f>
      </c>
    </row>
    <row r="64">
      <c r="A64" s="19" t="str">
        <v>Care build cost (3.5x)</v>
      </c>
      <c r="C64" s="21">
        <f>C24*3.5</f>
      </c>
    </row>
    <row r="65">
      <c r="A65" s="19" t="str">
        <v>Opt A: VERSA revenue/period</v>
      </c>
      <c r="C65" s="21">
        <f>C45-C52</f>
      </c>
    </row>
    <row r="66">
      <c r="A66" s="19" t="str">
        <v>Opt A: VERSA margin/period</v>
      </c>
      <c r="C66" s="21">
        <f>C65-C50</f>
      </c>
    </row>
    <row r="67">
      <c r="A67" s="19" t="str">
        <v>Opt A: Margin %</v>
      </c>
      <c r="C67" s="22">
        <f>IF(C65&gt;0,C66/C65,0)</f>
      </c>
    </row>
    <row r="68">
      <c r="A68" s="19" t="str">
        <v>Opt A: Annual revenue</v>
      </c>
      <c r="C68" s="21">
        <f>C65*C10</f>
      </c>
    </row>
    <row r="69">
      <c r="A69" s="19" t="str">
        <v>Opt A: Annual margin</v>
      </c>
      <c r="C69" s="21">
        <f>C66*C10</f>
      </c>
    </row>
    <row r="70">
      <c r="A70" s="19" t="str">
        <v>Opt A: Year 1 net</v>
      </c>
      <c r="C70" s="21">
        <f>C69-C24</f>
      </c>
    </row>
    <row r="71">
      <c r="A71" s="19" t="str">
        <v>Opt A: Payback (periods)</v>
      </c>
      <c r="C71" s="23">
        <f>IF(C66&gt;0,C24/C66,"Never")</f>
      </c>
    </row>
    <row r="72">
      <c r="A72" s="19" t="str">
        <v>Opt B: VERSA revenue/period</v>
      </c>
      <c r="C72" s="21">
        <f>C45-C52+C53</f>
      </c>
    </row>
    <row r="73">
      <c r="A73" s="19" t="str">
        <v>Opt B: VERSA margin/period</v>
      </c>
      <c r="C73" s="21">
        <f>C72-C50</f>
      </c>
    </row>
    <row r="74">
      <c r="A74" s="19" t="str">
        <v>Opt B: Margin %</v>
      </c>
      <c r="C74" s="22">
        <f>IF(C72&gt;0,C73/C72,0)</f>
      </c>
    </row>
    <row r="75">
      <c r="A75" s="19" t="str">
        <v>Opt B: Annual revenue</v>
      </c>
      <c r="C75" s="21">
        <f>C72*C10</f>
      </c>
    </row>
    <row r="76">
      <c r="A76" s="19" t="str">
        <v>Opt B: Annual margin</v>
      </c>
      <c r="C76" s="21">
        <f>C73*C10</f>
      </c>
    </row>
    <row r="77">
      <c r="A77" s="19" t="str">
        <v>Opt B: Year 1 net</v>
      </c>
      <c r="C77" s="21">
        <f>C76-C24</f>
      </c>
    </row>
    <row r="78">
      <c r="A78" s="19" t="str">
        <v>Opt B: Payback (periods)</v>
      </c>
      <c r="C78" s="23">
        <f>IF(C73&gt;0,C24/C73,"Never")</f>
      </c>
    </row>
    <row r="79">
      <c r="A79" s="19" t="str">
        <v>Opt C: VERSA revenue/period</v>
      </c>
      <c r="C79" s="21">
        <f>C45-C52+C54</f>
      </c>
    </row>
    <row r="80">
      <c r="A80" s="19" t="str">
        <v>Opt C: VERSA margin/period</v>
      </c>
      <c r="C80" s="21">
        <f>C79-C50</f>
      </c>
    </row>
    <row r="81">
      <c r="A81" s="19" t="str">
        <v>Opt C: Margin %</v>
      </c>
      <c r="C81" s="22">
        <f>IF(C79&gt;0,C80/C79,0)</f>
      </c>
    </row>
    <row r="82">
      <c r="A82" s="19" t="str">
        <v>Opt C: Annual revenue</v>
      </c>
      <c r="C82" s="21">
        <f>C79*C10</f>
      </c>
    </row>
    <row r="83">
      <c r="A83" s="19" t="str">
        <v>Opt C: Annual margin</v>
      </c>
      <c r="C83" s="21">
        <f>C80*C10</f>
      </c>
    </row>
    <row r="84">
      <c r="A84" s="19" t="str">
        <v>Opt C: Year 1 net</v>
      </c>
      <c r="C84" s="21">
        <f>C83-C24</f>
      </c>
    </row>
    <row r="85">
      <c r="A85" s="19" t="str">
        <v>Opt C: Payback (periods)</v>
      </c>
      <c r="C85" s="23">
        <f>IF(C80&gt;0,C24/C80,"Never")</f>
      </c>
    </row>
    <row r="86">
      <c r="A86" s="19" t="str">
        <v>Opt D: VERSA revenue/period</v>
      </c>
      <c r="C86" s="21">
        <f>C65</f>
      </c>
    </row>
    <row r="87">
      <c r="A87" s="19" t="str">
        <v>Opt D: VERSA margin/period</v>
      </c>
      <c r="C87" s="21">
        <f>C66</f>
      </c>
    </row>
    <row r="88">
      <c r="A88" s="19" t="str">
        <v>Opt D: Annual revenue</v>
      </c>
      <c r="C88" s="21">
        <f>C68+C56</f>
      </c>
    </row>
    <row r="89">
      <c r="A89" s="19" t="str">
        <v>Opt D: Annual margin</v>
      </c>
      <c r="C89" s="21">
        <f>C69+C56</f>
      </c>
    </row>
    <row r="90">
      <c r="A90" s="19" t="str">
        <v>Opt D: Blended margin %</v>
      </c>
      <c r="C90" s="22">
        <f>IF(C88&gt;0,C89/C88,0)</f>
      </c>
    </row>
    <row r="91">
      <c r="A91" s="19" t="str">
        <v>Opt D: Year 1 net</v>
      </c>
      <c r="C91" s="21">
        <f>C89-C24</f>
      </c>
    </row>
    <row r="92">
      <c r="A92" s="19" t="str">
        <v>Opt D: Payback (periods)</v>
      </c>
      <c r="C92" s="23">
        <f>C71</f>
      </c>
    </row>
    <row r="93">
      <c r="A93" s="19" t="str">
        <v>Opt A: Claro annual cost</v>
      </c>
      <c r="C93" s="21">
        <f>C45*C10</f>
      </c>
    </row>
    <row r="94">
      <c r="A94" s="19" t="str">
        <v>Opt B: Claro annual cost</v>
      </c>
      <c r="C94" s="21">
        <f>(C45+C53)*C10</f>
      </c>
    </row>
    <row r="95">
      <c r="A95" s="19" t="str">
        <v>Opt C: Claro annual cost</v>
      </c>
      <c r="C95" s="21">
        <f>(C45+C54)*C10</f>
      </c>
    </row>
    <row r="96">
      <c r="A96" s="19" t="str">
        <v>Opt D: Claro annual cost</v>
      </c>
      <c r="C96" s="21">
        <f>C93+C56</f>
      </c>
    </row>
    <row r="97">
      <c r="A97" s="19" t="str">
        <v>Hybrid B+D: Annual margin</v>
      </c>
      <c r="C97" s="21">
        <f>C76+C56</f>
      </c>
    </row>
    <row r="98">
      <c r="A98" s="19" t="str">
        <v>Hybrid B+D: Year 1 net</v>
      </c>
      <c r="C98" s="21">
        <f>C97-C24</f>
      </c>
    </row>
    <row r="99">
      <c r="A99" s="19" t="str">
        <v>Hybrid B+D: Year 2+ potential</v>
      </c>
      <c r="C99" s="21">
        <f>C76+C62</f>
      </c>
    </row>
    <row r="100">
      <c r="A100" s="19" t="str">
        <v>Scale factor (200/17 seats)</v>
      </c>
      <c r="C100" s="23">
        <f>200/17</f>
      </c>
    </row>
  </sheetData>
  <ignoredErrors>
    <ignoredError numberStoredAsText="1" sqref="A1:D1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cols>
    <col min="1" max="1" width="40.83203125" customWidth="1"/>
    <col min="2" max="2" width="22.83203125" customWidth="1"/>
    <col min="3" max="3" width="26.83203125" customWidth="1"/>
    <col min="4" max="4" width="26.83203125" customWidth="1"/>
    <col min="5" max="5" width="32.83203125" customWidth="1"/>
  </cols>
  <sheetData>
    <row r="1">
      <c r="A1" s="3" t="str">
        <v>SIDE-BY-SIDE OPTION COMPARISON</v>
      </c>
    </row>
    <row r="2">
      <c r="A2" s="4" t="str">
        <v>All figures USD unless stated</v>
      </c>
    </row>
    <row r="4" xml:space="preserve">
      <c r="A4" s="24" t="str">
        <v>Metric</v>
      </c>
      <c r="B4" s="25" t="str">
        <v>A: Pure Commission</v>
      </c>
      <c r="C4" s="25" t="str" xml:space="preserve">
        <v xml:space="preserve">B: Commission +
Platform Fee</v>
      </c>
      <c r="D4" s="25" t="str" xml:space="preserve">
        <v xml:space="preserve">C: Per-Lead Fee +
Commission</v>
      </c>
      <c r="E4" s="25" t="str" xml:space="preserve">
        <v xml:space="preserve">D: Commission +
Expansion Guarantee</v>
      </c>
    </row>
    <row r="5">
      <c r="A5" s="26" t="str">
        <v>PER PERIOD (5 WEEKS)</v>
      </c>
      <c r="B5" s="27" t="str">
        <v/>
      </c>
      <c r="C5" s="27" t="str">
        <v/>
      </c>
      <c r="D5" s="27" t="str">
        <v/>
      </c>
      <c r="E5" s="27" t="str">
        <v/>
      </c>
    </row>
    <row r="6">
      <c r="A6" s="7" t="str">
        <v>VERSA Revenue</v>
      </c>
      <c r="B6" s="21">
        <f>Inputs!C65</f>
      </c>
      <c r="C6" s="21">
        <f>Inputs!C72</f>
      </c>
      <c r="D6" s="21">
        <f>Inputs!C79</f>
      </c>
      <c r="E6" s="21">
        <f>Inputs!C86</f>
      </c>
    </row>
    <row r="7">
      <c r="A7" s="7" t="str">
        <v>VERSA Platform Costs</v>
      </c>
      <c r="B7" s="21">
        <f>Inputs!C50</f>
      </c>
      <c r="C7" s="21">
        <f>Inputs!C50</f>
      </c>
      <c r="D7" s="21">
        <f>Inputs!C50</f>
      </c>
      <c r="E7" s="21">
        <f>Inputs!C50</f>
      </c>
    </row>
    <row r="8">
      <c r="A8" s="28" t="str">
        <v>VERSA Margin</v>
      </c>
      <c r="B8" s="29">
        <f>Inputs!C66</f>
      </c>
      <c r="C8" s="29">
        <f>Inputs!C73</f>
      </c>
      <c r="D8" s="29">
        <f>Inputs!C80</f>
      </c>
      <c r="E8" s="29">
        <f>Inputs!C87</f>
      </c>
    </row>
    <row r="9">
      <c r="A9" s="7" t="str">
        <v>VERSA Gross Margin %</v>
      </c>
      <c r="B9" s="22">
        <f>Inputs!C67</f>
      </c>
      <c r="C9" s="22">
        <f>Inputs!C74</f>
      </c>
      <c r="D9" s="22">
        <f>Inputs!C81</f>
      </c>
      <c r="E9" s="22">
        <f>Inputs!C67</f>
      </c>
    </row>
    <row r="11">
      <c r="A11" s="27" t="str">
        <v>ANNUAL</v>
      </c>
      <c r="B11" s="27" t="str">
        <v/>
      </c>
      <c r="C11" s="27" t="str">
        <v/>
      </c>
      <c r="D11" s="27" t="str">
        <v/>
      </c>
      <c r="E11" s="27" t="str">
        <v/>
      </c>
    </row>
    <row r="12">
      <c r="A12" s="7" t="str">
        <v>VERSA Annual Revenue</v>
      </c>
      <c r="B12" s="21">
        <f>Inputs!C68</f>
      </c>
      <c r="C12" s="21">
        <f>Inputs!C75</f>
      </c>
      <c r="D12" s="21">
        <f>Inputs!C82</f>
      </c>
      <c r="E12" s="21">
        <f>Inputs!C88</f>
      </c>
    </row>
    <row r="13">
      <c r="A13" s="7" t="str">
        <v>VERSA Annual Margin (before build)</v>
      </c>
      <c r="B13" s="21">
        <f>Inputs!C69</f>
      </c>
      <c r="C13" s="21">
        <f>Inputs!C76</f>
      </c>
      <c r="D13" s="21">
        <f>Inputs!C83</f>
      </c>
      <c r="E13" s="21">
        <f>Inputs!C89</f>
      </c>
    </row>
    <row r="14">
      <c r="A14" s="7" t="str">
        <v>Build Cost Recovery (periods)</v>
      </c>
      <c r="B14" s="23">
        <f>Inputs!C71</f>
      </c>
      <c r="C14" s="23">
        <f>Inputs!C78</f>
      </c>
      <c r="D14" s="23">
        <f>Inputs!C85</f>
      </c>
      <c r="E14" s="23">
        <f>Inputs!C92</f>
      </c>
    </row>
    <row r="15">
      <c r="A15" s="28" t="str">
        <v>Year 1 Net Margin (after build)</v>
      </c>
      <c r="B15" s="29">
        <f>Inputs!C70</f>
      </c>
      <c r="C15" s="29">
        <f>Inputs!C77</f>
      </c>
      <c r="D15" s="29">
        <f>Inputs!C84</f>
      </c>
      <c r="E15" s="29">
        <f>Inputs!C91</f>
      </c>
    </row>
    <row r="16">
      <c r="A16" s="28" t="str">
        <v>Blended Annual Margin %</v>
      </c>
      <c r="B16" s="30">
        <f>Inputs!C67</f>
      </c>
      <c r="C16" s="30">
        <f>Inputs!C74</f>
      </c>
      <c r="D16" s="30">
        <f>Inputs!C81</f>
      </c>
      <c r="E16" s="30">
        <f>Inputs!C90</f>
      </c>
    </row>
    <row r="18">
      <c r="A18" s="27" t="str">
        <v>CLARO COST</v>
      </c>
      <c r="B18" s="27" t="str">
        <v/>
      </c>
      <c r="C18" s="27" t="str">
        <v/>
      </c>
      <c r="D18" s="27" t="str">
        <v/>
      </c>
      <c r="E18" s="27" t="str">
        <v/>
      </c>
    </row>
    <row r="19">
      <c r="A19" s="7" t="str">
        <v>Total Cost to Claro (annual)</v>
      </c>
      <c r="B19" s="21">
        <f>Inputs!C93</f>
      </c>
      <c r="C19" s="21">
        <f>Inputs!C94</f>
      </c>
      <c r="D19" s="21">
        <f>Inputs!C95</f>
      </c>
      <c r="E19" s="21">
        <f>Inputs!C96</f>
      </c>
    </row>
    <row r="20">
      <c r="A20" s="28" t="str">
        <v>Meets 50% Margin Target?</v>
      </c>
      <c r="B20" s="21">
        <f>IF(Inputs!C67&gt;=Inputs!C25,"YES","NO")</f>
      </c>
      <c r="C20" s="21">
        <f>IF(Inputs!C74&gt;=Inputs!C25,"YES","NO")</f>
      </c>
      <c r="D20" s="21">
        <f>IF(Inputs!C81&gt;=Inputs!C25,"YES","NO")</f>
      </c>
      <c r="E20" s="21">
        <f>IF(Inputs!C90&gt;=Inputs!C25,"YES","NO")</f>
      </c>
    </row>
  </sheetData>
  <ignoredErrors>
    <ignoredError numberStoredAsText="1" sqref="A1:E2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cols>
    <col min="1" max="1" width="44.83203125" customWidth="1"/>
    <col min="2" max="2" width="22.83203125" customWidth="1"/>
    <col min="3" max="3" width="22.83203125" customWidth="1"/>
    <col min="4" max="4" width="22.83203125" customWidth="1"/>
    <col min="5" max="5" width="28.83203125" customWidth="1"/>
  </cols>
  <sheetData>
    <row r="1">
      <c r="A1" s="3" t="str">
        <v>OPTION DETAIL BREAKDOWNS</v>
      </c>
    </row>
    <row r="2">
      <c r="A2" s="4" t="str">
        <v>Per 5-week campaign period</v>
      </c>
    </row>
    <row r="4" xml:space="preserve">
      <c r="A4" s="7" t="str">
        <v/>
      </c>
      <c r="B4" s="25" t="str">
        <v>A: Pure Commission</v>
      </c>
      <c r="C4" s="25" t="str">
        <v>B: + Platform Fee</v>
      </c>
      <c r="D4" s="25" t="str">
        <v>C: + Per-Lead Fee</v>
      </c>
      <c r="E4" s="25" t="str" xml:space="preserve">
        <v xml:space="preserve">D: + Expansion
Guarantee</v>
      </c>
    </row>
    <row r="5">
      <c r="A5" s="27" t="str">
        <v>REVENUE COMPONENTS</v>
      </c>
      <c r="B5" s="27" t="str">
        <v/>
      </c>
      <c r="C5" s="27" t="str">
        <v/>
      </c>
      <c r="D5" s="27" t="str">
        <v/>
      </c>
      <c r="E5" s="27" t="str">
        <v/>
      </c>
    </row>
    <row r="6">
      <c r="A6" s="7" t="str">
        <v>Total commission revenue (incl. bonuses)</v>
      </c>
      <c r="B6" s="15">
        <f>Inputs!C45</f>
      </c>
      <c r="C6" s="15">
        <f>Inputs!C45</f>
      </c>
      <c r="D6" s="15">
        <f>Inputs!C45</f>
      </c>
      <c r="E6" s="15">
        <f>Inputs!C45</f>
      </c>
    </row>
    <row r="7">
      <c r="A7" s="7" t="str">
        <v>Platform fee (per period)</v>
      </c>
      <c r="B7" s="21">
        <v>0</v>
      </c>
      <c r="C7" s="15">
        <f>Inputs!C53</f>
      </c>
      <c r="D7" s="21">
        <v>0</v>
      </c>
      <c r="E7" s="21">
        <v>0</v>
      </c>
    </row>
    <row r="8">
      <c r="A8" s="7" t="str">
        <v>Lead processing fee (per period)</v>
      </c>
      <c r="B8" s="21">
        <v>0</v>
      </c>
      <c r="C8" s="21">
        <v>0</v>
      </c>
      <c r="D8" s="15">
        <f>Inputs!C54</f>
      </c>
      <c r="E8" s="21">
        <v>0</v>
      </c>
    </row>
    <row r="9">
      <c r="A9" s="7" t="str">
        <v>Expansion guarantee (annualised / 10)</v>
      </c>
      <c r="B9" s="21">
        <v>0</v>
      </c>
      <c r="C9" s="21">
        <v>0</v>
      </c>
      <c r="D9" s="21">
        <v>0</v>
      </c>
      <c r="E9" s="15">
        <f>Inputs!C56/Inputs!C10</f>
      </c>
    </row>
    <row r="10">
      <c r="A10" s="28" t="str">
        <v>Gross revenue</v>
      </c>
      <c r="B10" s="29">
        <f>Inputs!C45</f>
      </c>
      <c r="C10" s="29">
        <f>Inputs!C45+Inputs!C53</f>
      </c>
      <c r="D10" s="29">
        <f>Inputs!C45+Inputs!C54</f>
      </c>
      <c r="E10" s="29">
        <f>Inputs!C45+Inputs!C56/Inputs!C10</f>
      </c>
    </row>
    <row r="12">
      <c r="A12" s="27" t="str">
        <v>VT TAKE</v>
      </c>
      <c r="B12" s="27" t="str">
        <v/>
      </c>
      <c r="C12" s="27" t="str">
        <v/>
      </c>
      <c r="D12" s="27" t="str">
        <v/>
      </c>
      <c r="E12" s="27" t="str">
        <v/>
      </c>
    </row>
    <row r="13">
      <c r="A13" s="7" t="str">
        <v>VT agent cost recovery</v>
      </c>
      <c r="B13" s="21">
        <f>Inputs!C46</f>
      </c>
      <c r="C13" s="21">
        <f>Inputs!C46</f>
      </c>
      <c r="D13" s="21">
        <f>Inputs!C46</f>
      </c>
      <c r="E13" s="21">
        <f>Inputs!C46</f>
      </c>
    </row>
    <row r="14">
      <c r="A14" s="7" t="str">
        <v>VT commission fee</v>
      </c>
      <c r="B14" s="21">
        <f>Inputs!C51</f>
      </c>
      <c r="C14" s="21">
        <f>Inputs!C51</f>
      </c>
      <c r="D14" s="21">
        <f>Inputs!C51</f>
      </c>
      <c r="E14" s="21">
        <f>Inputs!C51</f>
      </c>
    </row>
    <row r="15">
      <c r="A15" s="28" t="str">
        <v>Total VT take</v>
      </c>
      <c r="B15" s="29">
        <f>Inputs!C52</f>
      </c>
      <c r="C15" s="29">
        <f>Inputs!C52</f>
      </c>
      <c r="D15" s="29">
        <f>Inputs!C52</f>
      </c>
      <c r="E15" s="29">
        <f>Inputs!C52</f>
      </c>
    </row>
    <row r="17">
      <c r="A17" s="27" t="str">
        <v>VERSA P&amp;L</v>
      </c>
      <c r="B17" s="27" t="str">
        <v/>
      </c>
      <c r="C17" s="27" t="str">
        <v/>
      </c>
      <c r="D17" s="27" t="str">
        <v/>
      </c>
      <c r="E17" s="27" t="str">
        <v/>
      </c>
    </row>
    <row r="18">
      <c r="A18" s="7" t="str">
        <v>VERSA revenue (after VT)</v>
      </c>
      <c r="B18" s="21">
        <f>Inputs!C65</f>
      </c>
      <c r="C18" s="21">
        <f>Inputs!C72</f>
      </c>
      <c r="D18" s="21">
        <f>Inputs!C79</f>
      </c>
      <c r="E18" s="21">
        <f>Inputs!C65</f>
      </c>
    </row>
    <row r="19">
      <c r="A19" s="7" t="str">
        <v>SMS costs</v>
      </c>
      <c r="B19" s="21">
        <f>Inputs!C47</f>
      </c>
      <c r="C19" s="21">
        <f>Inputs!C47</f>
      </c>
      <c r="D19" s="21">
        <f>Inputs!C47</f>
      </c>
      <c r="E19" s="21">
        <f>Inputs!C47</f>
      </c>
    </row>
    <row r="20">
      <c r="A20" s="7" t="str">
        <v>Dial costs</v>
      </c>
      <c r="B20" s="21">
        <f>Inputs!C48</f>
      </c>
      <c r="C20" s="21">
        <f>Inputs!C48</f>
      </c>
      <c r="D20" s="21">
        <f>Inputs!C48</f>
      </c>
      <c r="E20" s="21">
        <f>Inputs!C48</f>
      </c>
    </row>
    <row r="21">
      <c r="A21" s="7" t="str">
        <v>AHT screening costs</v>
      </c>
      <c r="B21" s="21">
        <f>Inputs!C49</f>
      </c>
      <c r="C21" s="21">
        <f>Inputs!C49</f>
      </c>
      <c r="D21" s="21">
        <f>Inputs!C49</f>
      </c>
      <c r="E21" s="21">
        <f>Inputs!C49</f>
      </c>
    </row>
    <row r="22">
      <c r="A22" s="7" t="str">
        <v>Total VERSA platform costs</v>
      </c>
      <c r="B22" s="21">
        <f>Inputs!C50</f>
      </c>
      <c r="C22" s="21">
        <f>Inputs!C50</f>
      </c>
      <c r="D22" s="21">
        <f>Inputs!C50</f>
      </c>
      <c r="E22" s="21">
        <f>Inputs!C50</f>
      </c>
    </row>
    <row r="23">
      <c r="A23" s="28" t="str">
        <v>VERSA margin (per period)</v>
      </c>
      <c r="B23" s="29">
        <f>Inputs!C66</f>
      </c>
      <c r="C23" s="29">
        <f>Inputs!C73</f>
      </c>
      <c r="D23" s="29">
        <f>Inputs!C80</f>
      </c>
      <c r="E23" s="29">
        <f>Inputs!C66</f>
      </c>
    </row>
    <row r="24">
      <c r="A24" s="28" t="str">
        <v>VERSA margin %</v>
      </c>
      <c r="B24" s="30">
        <f>Inputs!C67</f>
      </c>
      <c r="C24" s="30">
        <f>Inputs!C74</f>
      </c>
      <c r="D24" s="30">
        <f>Inputs!C81</f>
      </c>
      <c r="E24" s="30">
        <f>Inputs!C67</f>
      </c>
    </row>
    <row r="26">
      <c r="A26" s="27" t="str">
        <v>ANNUAL</v>
      </c>
      <c r="B26" s="27" t="str">
        <v/>
      </c>
      <c r="C26" s="27" t="str">
        <v/>
      </c>
      <c r="D26" s="27" t="str">
        <v/>
      </c>
      <c r="E26" s="27" t="str">
        <v/>
      </c>
    </row>
    <row r="27">
      <c r="A27" s="7" t="str">
        <v>VERSA annual revenue</v>
      </c>
      <c r="B27" s="21">
        <f>Inputs!C68</f>
      </c>
      <c r="C27" s="21">
        <f>Inputs!C75</f>
      </c>
      <c r="D27" s="21">
        <f>Inputs!C82</f>
      </c>
      <c r="E27" s="21">
        <f>Inputs!C88</f>
      </c>
    </row>
    <row r="28">
      <c r="A28" s="7" t="str">
        <v>VERSA annual margin</v>
      </c>
      <c r="B28" s="21">
        <f>Inputs!C69</f>
      </c>
      <c r="C28" s="21">
        <f>Inputs!C76</f>
      </c>
      <c r="D28" s="21">
        <f>Inputs!C83</f>
      </c>
      <c r="E28" s="21">
        <f>Inputs!C89</f>
      </c>
    </row>
    <row r="29">
      <c r="A29" s="7" t="str">
        <v>Less: build cost</v>
      </c>
      <c r="B29" s="21">
        <f>-Inputs!C24</f>
      </c>
      <c r="C29" s="21">
        <f>-Inputs!C24</f>
      </c>
      <c r="D29" s="21">
        <f>-Inputs!C24</f>
      </c>
      <c r="E29" s="21">
        <f>-Inputs!C24</f>
      </c>
    </row>
    <row r="30">
      <c r="A30" s="28" t="str">
        <v>Year 1 net margin</v>
      </c>
      <c r="B30" s="29">
        <f>Inputs!C70</f>
      </c>
      <c r="C30" s="29">
        <f>Inputs!C77</f>
      </c>
      <c r="D30" s="29">
        <f>Inputs!C84</f>
      </c>
      <c r="E30" s="29">
        <f>Inputs!C91</f>
      </c>
    </row>
  </sheetData>
  <ignoredErrors>
    <ignoredError numberStoredAsText="1" sqref="A1:E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23"/>
  <sheetViews>
    <sheetView workbookViewId="0"/>
  </sheetViews>
  <cols>
    <col min="1" max="1" width="48.83203125" customWidth="1"/>
    <col min="2" max="2" width="22.83203125" customWidth="1"/>
    <col min="3" max="3" width="24.83203125" customWidth="1"/>
    <col min="4" max="4" width="24.83203125" customWidth="1"/>
  </cols>
  <sheetData>
    <row r="1">
      <c r="A1" s="3" t="str">
        <v>SCALE SCENARIOS (ANNUAL)</v>
      </c>
    </row>
    <row r="2">
      <c r="A2" s="4" t="str">
        <v>Pilot to 200-seat expansion with inbound care</v>
      </c>
    </row>
    <row r="4">
      <c r="A4" s="31" t="str">
        <v>Metric</v>
      </c>
      <c r="B4" s="25" t="str">
        <v>Pilot (17 seats)</v>
      </c>
      <c r="C4" s="25" t="str">
        <v>200-Seat Expansion</v>
      </c>
      <c r="D4" s="25" t="str">
        <v>+ Inbound Care</v>
      </c>
    </row>
    <row r="5">
      <c r="A5" s="27" t="str">
        <v>OUTBOUND SALES</v>
      </c>
      <c r="B5" s="27" t="str">
        <v/>
      </c>
      <c r="C5" s="27" t="str">
        <v/>
      </c>
      <c r="D5" s="27" t="str">
        <v/>
      </c>
    </row>
    <row r="6">
      <c r="A6" s="7" t="str">
        <v>Leads per period</v>
      </c>
      <c r="B6" s="20">
        <f>Inputs!C5</f>
      </c>
      <c r="C6" s="20">
        <f>Inputs!C5*Inputs!C100</f>
      </c>
      <c r="D6" s="20">
        <f>Inputs!C5*Inputs!C100</f>
      </c>
    </row>
    <row r="7">
      <c r="A7" s="7" t="str">
        <v>Sales revenue per period</v>
      </c>
      <c r="B7" s="21">
        <f>Inputs!C45</f>
      </c>
      <c r="C7" s="21">
        <f>Inputs!C45*Inputs!C100</f>
      </c>
      <c r="D7" s="21">
        <f>Inputs!C45*Inputs!C100</f>
      </c>
    </row>
    <row r="8">
      <c r="A8" s="7" t="str">
        <v>VERSA margin per period (sales)</v>
      </c>
      <c r="B8" s="21">
        <f>Inputs!C66</f>
      </c>
      <c r="C8" s="21">
        <f>Inputs!C66*Inputs!C100</f>
      </c>
      <c r="D8" s="21">
        <f>Inputs!C66*Inputs!C100</f>
      </c>
    </row>
    <row r="9">
      <c r="A9" s="28" t="str">
        <v>Annual VERSA margin (sales)</v>
      </c>
      <c r="B9" s="29">
        <f>Inputs!C69</f>
      </c>
      <c r="C9" s="29">
        <f>Inputs!C69*Inputs!C100</f>
      </c>
      <c r="D9" s="29">
        <f>Inputs!C69*Inputs!C100</f>
      </c>
    </row>
    <row r="11">
      <c r="A11" s="27" t="str">
        <v>INBOUND CARE (VOICE + CHAT)</v>
      </c>
      <c r="B11" s="27" t="str">
        <v/>
      </c>
      <c r="C11" s="27" t="str">
        <v/>
      </c>
      <c r="D11" s="27" t="str">
        <v/>
      </c>
    </row>
    <row r="12">
      <c r="A12" s="7" t="str">
        <v>Monthly inbound calls</v>
      </c>
      <c r="B12" s="32" t="str">
        <v>—</v>
      </c>
      <c r="C12" s="32" t="str">
        <v>—</v>
      </c>
      <c r="D12" s="20">
        <f>Inputs!C34</f>
      </c>
    </row>
    <row r="13">
      <c r="A13" s="7" t="str">
        <v>Monthly inbound chats</v>
      </c>
      <c r="B13" s="32" t="str">
        <v>—</v>
      </c>
      <c r="C13" s="32" t="str">
        <v>—</v>
      </c>
      <c r="D13" s="20">
        <f>Inputs!C35</f>
      </c>
    </row>
    <row r="14">
      <c r="A14" s="7" t="str">
        <v>Billable calls (50% containment)</v>
      </c>
      <c r="B14" s="32" t="str">
        <v>—</v>
      </c>
      <c r="C14" s="32" t="str">
        <v>—</v>
      </c>
      <c r="D14" s="20">
        <f>Inputs!C57</f>
      </c>
    </row>
    <row r="15">
      <c r="A15" s="7" t="str">
        <v>Billable chats (50% containment)</v>
      </c>
      <c r="B15" s="32" t="str">
        <v>—</v>
      </c>
      <c r="C15" s="32" t="str">
        <v>—</v>
      </c>
      <c r="D15" s="20">
        <f>Inputs!C58</f>
      </c>
    </row>
    <row r="16">
      <c r="A16" s="7" t="str">
        <v>Care revenue / month</v>
      </c>
      <c r="B16" s="32" t="str">
        <v>—</v>
      </c>
      <c r="C16" s="32" t="str">
        <v>—</v>
      </c>
      <c r="D16" s="21">
        <f>Inputs!C61</f>
      </c>
    </row>
    <row r="17">
      <c r="A17" s="7" t="str">
        <v>Care revenue / year</v>
      </c>
      <c r="B17" s="32" t="str">
        <v>—</v>
      </c>
      <c r="C17" s="32" t="str">
        <v>—</v>
      </c>
      <c r="D17" s="21">
        <f>Inputs!C62</f>
      </c>
    </row>
    <row r="18">
      <c r="A18" s="28" t="str">
        <v>Care margin / year (est. 65%)</v>
      </c>
      <c r="B18" s="32" t="str">
        <v>—</v>
      </c>
      <c r="C18" s="32" t="str">
        <v>—</v>
      </c>
      <c r="D18" s="29">
        <f>Inputs!C63</f>
      </c>
    </row>
    <row r="20">
      <c r="A20" s="27" t="str">
        <v>COMBINED</v>
      </c>
      <c r="B20" s="27" t="str">
        <v/>
      </c>
      <c r="C20" s="27" t="str">
        <v/>
      </c>
      <c r="D20" s="27" t="str">
        <v/>
      </c>
    </row>
    <row r="21">
      <c r="A21" s="28" t="str">
        <v>Total VERSA annual revenue</v>
      </c>
      <c r="B21" s="29">
        <f>Inputs!C68</f>
      </c>
      <c r="C21" s="29">
        <f>Inputs!C68*Inputs!C100</f>
      </c>
      <c r="D21" s="29">
        <f>Inputs!C68*Inputs!C100+Inputs!C62</f>
      </c>
    </row>
    <row r="22">
      <c r="A22" s="28" t="str">
        <v>Total VERSA annual margin</v>
      </c>
      <c r="B22" s="29">
        <f>Inputs!C69</f>
      </c>
      <c r="C22" s="29">
        <f>Inputs!C69*Inputs!C100</f>
      </c>
      <c r="D22" s="29">
        <f>Inputs!C69*Inputs!C100+Inputs!C63</f>
      </c>
    </row>
  </sheetData>
  <ignoredErrors>
    <ignoredError numberStoredAsText="1" sqref="A1:D2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cols>
    <col min="1" max="1" width="48.83203125" customWidth="1"/>
    <col min="2" max="2" width="30.83203125" customWidth="1"/>
    <col min="3" max="3" width="24.83203125" customWidth="1"/>
  </cols>
  <sheetData>
    <row r="1">
      <c r="A1" s="3" t="str">
        <v>INBOUND CARE — THE REAL PRIZE</v>
      </c>
    </row>
    <row r="2">
      <c r="A2" s="4" t="str">
        <v>Based on ~6.5M subscribers, ~15% monthly contact rate</v>
      </c>
    </row>
    <row r="4">
      <c r="A4" s="27" t="str">
        <v>VOICE</v>
      </c>
      <c r="B4" s="27" t="str">
        <v/>
      </c>
      <c r="C4" s="27" t="str">
        <v/>
      </c>
    </row>
    <row r="5">
      <c r="A5" s="7" t="str">
        <v>Estimated inbound calls/month</v>
      </c>
      <c r="B5" s="15">
        <f>Inputs!C34</f>
      </c>
      <c r="C5" s="9" t="str">
        <v>calls</v>
      </c>
    </row>
    <row r="6">
      <c r="A6" s="7" t="str">
        <v>Billable calls (containment)</v>
      </c>
      <c r="B6" s="20">
        <f>Inputs!C57</f>
      </c>
      <c r="C6" s="9" t="str">
        <v>calls</v>
      </c>
    </row>
    <row r="7">
      <c r="A7" s="7" t="str">
        <v>Price per billable call</v>
      </c>
      <c r="B7" s="18">
        <f>Inputs!C36</f>
      </c>
      <c r="C7" s="9" t="str">
        <v>USD</v>
      </c>
    </row>
    <row r="8">
      <c r="A8" s="7" t="str">
        <v>Voice revenue / month</v>
      </c>
      <c r="B8" s="21">
        <f>Inputs!C59</f>
      </c>
      <c r="C8" s="9" t="str">
        <v>USD</v>
      </c>
    </row>
    <row r="10">
      <c r="A10" s="27" t="str">
        <v>CHAT</v>
      </c>
      <c r="B10" s="27" t="str">
        <v/>
      </c>
      <c r="C10" s="27" t="str">
        <v/>
      </c>
    </row>
    <row r="11">
      <c r="A11" s="7" t="str">
        <v>Estimated inbound chats/month</v>
      </c>
      <c r="B11" s="15">
        <f>Inputs!C35</f>
      </c>
      <c r="C11" s="9" t="str">
        <v>chats</v>
      </c>
    </row>
    <row r="12">
      <c r="A12" s="7" t="str">
        <v>Billable chats (containment)</v>
      </c>
      <c r="B12" s="20">
        <f>Inputs!C58</f>
      </c>
      <c r="C12" s="9" t="str">
        <v>chats</v>
      </c>
    </row>
    <row r="13">
      <c r="A13" s="7" t="str">
        <v>Price per billable chat</v>
      </c>
      <c r="B13" s="18">
        <f>Inputs!C37</f>
      </c>
      <c r="C13" s="9" t="str">
        <v>USD</v>
      </c>
    </row>
    <row r="14">
      <c r="A14" s="7" t="str">
        <v>Chat revenue / month</v>
      </c>
      <c r="B14" s="21">
        <f>Inputs!C60</f>
      </c>
      <c r="C14" s="9" t="str">
        <v>USD</v>
      </c>
    </row>
    <row r="16">
      <c r="A16" s="27" t="str">
        <v>COMBINED</v>
      </c>
      <c r="B16" s="27" t="str">
        <v/>
      </c>
      <c r="C16" s="27" t="str">
        <v/>
      </c>
    </row>
    <row r="17">
      <c r="A17" s="28" t="str">
        <v>Total monthly revenue</v>
      </c>
      <c r="B17" s="29">
        <f>Inputs!C61</f>
      </c>
    </row>
    <row r="18">
      <c r="A18" s="28" t="str">
        <v>Total annual revenue</v>
      </c>
      <c r="B18" s="29">
        <f>Inputs!C62</f>
      </c>
    </row>
    <row r="19">
      <c r="A19" s="7" t="str">
        <v>Est. gross margin</v>
      </c>
      <c r="B19" s="22">
        <v>0.65</v>
      </c>
    </row>
    <row r="20">
      <c r="A20" s="28" t="str">
        <v>Annual margin</v>
      </c>
      <c r="B20" s="29">
        <f>Inputs!C63</f>
      </c>
    </row>
    <row r="21">
      <c r="A21" s="7" t="str">
        <v>Build cost (est. 3.5x sales build)</v>
      </c>
      <c r="B21" s="15">
        <f>Inputs!C64</f>
      </c>
    </row>
    <row r="24">
      <c r="A24" s="6" t="str">
        <v>SALES vs CARE COMPARISON</v>
      </c>
      <c r="B24" s="6" t="str">
        <v>Outbound Sales</v>
      </c>
      <c r="C24" s="6" t="str">
        <v>Inbound Care</v>
      </c>
    </row>
    <row r="25">
      <c r="A25" s="7" t="str">
        <v>Revenue model</v>
      </c>
      <c r="B25" s="33" t="str">
        <v>Commission (outcome-dependent)</v>
      </c>
      <c r="C25" s="34" t="str">
        <v>Per-call (outcome-independent)</v>
      </c>
    </row>
    <row r="26">
      <c r="A26" s="7" t="str">
        <v>Annual VERSA revenue</v>
      </c>
      <c r="B26" s="21">
        <f>Inputs!C68</f>
      </c>
      <c r="C26" s="35">
        <f>Inputs!C62</f>
      </c>
    </row>
    <row r="27">
      <c r="A27" s="7" t="str">
        <v>Annual VERSA margin</v>
      </c>
      <c r="B27" s="21">
        <f>Inputs!C69</f>
      </c>
      <c r="C27" s="36">
        <f>Inputs!C63</f>
      </c>
    </row>
    <row r="28">
      <c r="A28" s="7" t="str">
        <v>Revenue predictability</v>
      </c>
      <c r="B28" s="37" t="str">
        <v>LOW</v>
      </c>
      <c r="C28" s="38" t="str">
        <v>HIGH</v>
      </c>
    </row>
    <row r="29">
      <c r="A29" s="7" t="str">
        <v>Chargeback risk</v>
      </c>
      <c r="B29" s="37" t="str">
        <v>YES (180-day clawback)</v>
      </c>
      <c r="C29" s="38" t="str">
        <v>NONE</v>
      </c>
    </row>
    <row r="31">
      <c r="A31" s="39" t="str">
        <v>Care is the strategic prize — accept sales pilot only with expansion guarantee</v>
      </c>
      <c r="B31" s="40" t="str">
        <v/>
      </c>
      <c r="C31" s="41" t="str">
        <v/>
      </c>
    </row>
  </sheetData>
  <ignoredErrors>
    <ignoredError numberStoredAsText="1" sqref="A1:C3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cols>
    <col min="1" max="1" width="40.83203125" customWidth="1"/>
    <col min="2" max="2" width="22.83203125" customWidth="1"/>
    <col min="3" max="3" width="24.83203125" customWidth="1"/>
    <col min="4" max="4" width="24.83203125" customWidth="1"/>
    <col min="5" max="5" width="30.83203125" customWidth="1"/>
  </cols>
  <sheetData>
    <row r="1">
      <c r="A1" s="3" t="str">
        <v>BOARD DECISION MATRIX</v>
      </c>
    </row>
    <row r="3">
      <c r="A3" s="31" t="str">
        <v>Criterion</v>
      </c>
      <c r="B3" s="25" t="str">
        <v>A: Pure Commission</v>
      </c>
      <c r="C3" s="25" t="str">
        <v>B: + Platform Fee</v>
      </c>
      <c r="D3" s="25" t="str">
        <v>C: + Per-Lead Fee</v>
      </c>
      <c r="E3" s="25" t="str">
        <v>D: + Expansion Guarantee</v>
      </c>
    </row>
    <row r="4">
      <c r="A4" s="7" t="str">
        <v>Meets margin target</v>
      </c>
      <c r="B4" s="37" t="str">
        <v>NO</v>
      </c>
      <c r="C4" s="7" t="str">
        <v>PARTIAL</v>
      </c>
      <c r="D4" s="7" t="str">
        <v>PARTIAL</v>
      </c>
      <c r="E4" s="38" t="str">
        <v>YES (blended)</v>
      </c>
    </row>
    <row r="5">
      <c r="A5" s="7" t="str">
        <v>Downside protection</v>
      </c>
      <c r="B5" s="37" t="str">
        <v>NONE</v>
      </c>
      <c r="C5" s="7" t="str">
        <v>MODERATE</v>
      </c>
      <c r="D5" s="7" t="str">
        <v>MODERATE</v>
      </c>
      <c r="E5" s="38" t="str">
        <v>STRONG</v>
      </c>
    </row>
    <row r="6">
      <c r="A6" s="7" t="str">
        <v>Path to care volumes</v>
      </c>
      <c r="B6" s="37" t="str">
        <v>NONE</v>
      </c>
      <c r="C6" s="37" t="str">
        <v>NONE</v>
      </c>
      <c r="D6" s="37" t="str">
        <v>NONE</v>
      </c>
      <c r="E6" s="38" t="str">
        <v>CONTRACTUAL</v>
      </c>
    </row>
    <row r="7">
      <c r="A7" s="7" t="str">
        <v>Ease of sell to Claro</v>
      </c>
      <c r="B7" s="38" t="str">
        <v>EASY</v>
      </c>
      <c r="C7" s="7" t="str">
        <v>MODERATE</v>
      </c>
      <c r="D7" s="37" t="str">
        <v>HARD</v>
      </c>
      <c r="E7" s="7" t="str">
        <v>MODERATE</v>
      </c>
    </row>
    <row r="8">
      <c r="A8" s="7" t="str">
        <v>Strategic value</v>
      </c>
      <c r="B8" s="37" t="str">
        <v>LOW</v>
      </c>
      <c r="C8" s="37" t="str">
        <v>LOW</v>
      </c>
      <c r="D8" s="37" t="str">
        <v>LOW</v>
      </c>
      <c r="E8" s="38" t="str">
        <v>HIGH</v>
      </c>
    </row>
    <row r="9">
      <c r="A9" s="7" t="str">
        <v>Recurring revenue quality</v>
      </c>
      <c r="B9" s="37" t="str">
        <v>LOW</v>
      </c>
      <c r="C9" s="7" t="str">
        <v>MODERATE</v>
      </c>
      <c r="D9" s="7" t="str">
        <v>MODERATE</v>
      </c>
      <c r="E9" s="38" t="str">
        <v>HIGH</v>
      </c>
    </row>
    <row r="12">
      <c r="A12" s="42" t="str">
        <v>RECOMMENDED: OPTION B + D HYBRID</v>
      </c>
      <c r="B12" s="41" t="str">
        <v/>
      </c>
      <c r="C12" s="41" t="str">
        <v/>
      </c>
      <c r="D12" s="41" t="str">
        <v/>
      </c>
      <c r="E12" s="41" t="str">
        <v/>
      </c>
    </row>
    <row r="13">
      <c r="A13" s="4" t="str">
        <v>Combine platform fee (B) with expansion guarantee into care (D)</v>
      </c>
    </row>
    <row r="15">
      <c r="A15" s="25" t="str">
        <v>Component</v>
      </c>
      <c r="B15" s="25" t="str">
        <v>Detail</v>
      </c>
      <c r="C15" s="25" t="str">
        <v/>
      </c>
      <c r="D15" s="25" t="str">
        <v/>
      </c>
      <c r="E15" s="25" t="str">
        <v/>
      </c>
    </row>
    <row r="16">
      <c r="A16" s="7" t="str">
        <v>1. Technology Platform Fee</v>
      </c>
      <c r="B16" s="7" t="str">
        <v>$5,000/month — positions VERSA as tech provider</v>
      </c>
    </row>
    <row r="17">
      <c r="A17" s="7" t="str">
        <v>2. Commission Pass-Through</v>
      </c>
      <c r="B17" s="7" t="str">
        <v>Standard commission, VT recovers agents + 5% fee</v>
      </c>
    </row>
    <row r="18">
      <c r="A18" s="7" t="str">
        <v>3. Expansion Guarantee</v>
      </c>
      <c r="B18" s="7" t="str">
        <v>Care within 6mo, or $25K/mo pre-payment (credited against future care)</v>
      </c>
    </row>
    <row r="19">
      <c r="A19" s="7" t="str">
        <v>4. Minimum Lead Supply SLA</v>
      </c>
      <c r="B19" s="7" t="str">
        <v>&gt;=90% of pilot volumes per period</v>
      </c>
    </row>
    <row r="20">
      <c r="A20" s="7" t="str">
        <v>5. Minimum Commitment</v>
      </c>
      <c r="B20" s="7" t="str">
        <v>6 months / 3 periods, early exit = unamortised build</v>
      </c>
    </row>
    <row r="21">
      <c r="A21" s="7" t="str">
        <v>6. Right of First Refusal</v>
      </c>
      <c r="B21" s="7" t="str">
        <v>First right on AI expansion across Claro DR / America Movil</v>
      </c>
    </row>
    <row r="23">
      <c r="A23" s="27" t="str">
        <v>YEAR 1 ECONOMICS (B+D HYBRID)</v>
      </c>
      <c r="B23" s="27" t="str">
        <v/>
      </c>
      <c r="C23" s="27" t="str">
        <v/>
      </c>
      <c r="D23" s="27" t="str">
        <v/>
      </c>
      <c r="E23" s="27" t="str">
        <v/>
      </c>
    </row>
    <row r="24">
      <c r="A24" s="7" t="str">
        <v>Sales pilot annual margin</v>
      </c>
      <c r="B24" s="21">
        <f>Inputs!C76</f>
      </c>
    </row>
    <row r="25">
      <c r="A25" s="7" t="str">
        <v>Expansion guarantee (if care not delivered)</v>
      </c>
      <c r="B25" s="15">
        <f>Inputs!C56</f>
      </c>
    </row>
    <row r="26">
      <c r="A26" s="28" t="str">
        <v>Total Year 1 VERSA margin (before build)</v>
      </c>
      <c r="B26" s="29">
        <f>Inputs!C97</f>
      </c>
    </row>
    <row r="27">
      <c r="A27" s="7" t="str">
        <v>Build cost</v>
      </c>
      <c r="B27" s="21">
        <f>0-Inputs!C24</f>
      </c>
    </row>
    <row r="28">
      <c r="A28" s="28" t="str">
        <v>Year 1 net margin</v>
      </c>
      <c r="B28" s="29">
        <f>Inputs!C98</f>
      </c>
    </row>
    <row r="29">
      <c r="A29" s="7" t="str">
        <v>If care IS delivered: additional annual revenue</v>
      </c>
      <c r="B29" s="36">
        <f>Inputs!C62</f>
      </c>
    </row>
    <row r="30">
      <c r="A30" s="28" t="str">
        <v>Combined Year 2+ potential</v>
      </c>
      <c r="B30" s="36">
        <f>Inputs!C99</f>
      </c>
    </row>
  </sheetData>
  <ignoredErrors>
    <ignoredError numberStoredAsText="1" sqref="A1:E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Inputs</vt:lpstr>
      <vt:lpstr>Option Comparison</vt:lpstr>
      <vt:lpstr>Option Details</vt:lpstr>
      <vt:lpstr>Scale Scenarios</vt:lpstr>
      <vt:lpstr>Inbound Care Opportunity</vt:lpstr>
      <vt:lpstr>Board Decision Matrix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